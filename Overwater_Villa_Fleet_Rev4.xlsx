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lenn Walters\Documents\BLUENOSE YACHTS\BOAT VILLA\"/>
    </mc:Choice>
  </mc:AlternateContent>
  <xr:revisionPtr revIDLastSave="0" documentId="8_{679917B7-B3C4-4A1B-A6FB-70C3B6108EFC}" xr6:coauthVersionLast="47" xr6:coauthVersionMax="47" xr10:uidLastSave="{00000000-0000-0000-0000-000000000000}"/>
  <bookViews>
    <workbookView xWindow="1950" yWindow="1950" windowWidth="19965" windowHeight="13500" tabRatio="500" firstSheet="1" activeTab="2" xr2:uid="{00000000-000D-0000-FFFF-FFFF00000000}"/>
  </bookViews>
  <sheets>
    <sheet name="Assumptions" sheetId="1" r:id="rId1"/>
    <sheet name="Operator Financials" sheetId="2" r:id="rId2"/>
    <sheet name="Hotel Financials" sheetId="3" r:id="rId3"/>
    <sheet name="Sensitivit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3" l="1"/>
  <c r="C7" i="3"/>
  <c r="C6" i="3"/>
  <c r="C5" i="3"/>
  <c r="C4" i="3"/>
  <c r="C101" i="2"/>
  <c r="C88" i="2"/>
  <c r="C68" i="2"/>
  <c r="C69" i="2" s="1"/>
  <c r="C51" i="2"/>
  <c r="C50" i="2"/>
  <c r="C48" i="2"/>
  <c r="C47" i="2"/>
  <c r="C36" i="2"/>
  <c r="C28" i="2"/>
  <c r="C26" i="2"/>
  <c r="C27" i="2" s="1"/>
  <c r="C20" i="2"/>
  <c r="C18" i="2"/>
  <c r="C16" i="2"/>
  <c r="C7" i="2"/>
  <c r="C4" i="2"/>
  <c r="C71" i="1"/>
  <c r="C53" i="1"/>
  <c r="C43" i="1"/>
  <c r="C29" i="1"/>
  <c r="C30" i="1" s="1"/>
  <c r="C18" i="1"/>
  <c r="C17" i="1"/>
  <c r="C7" i="1"/>
  <c r="C19" i="1" s="1"/>
  <c r="C8" i="3" l="1"/>
  <c r="C66" i="2"/>
  <c r="C67" i="2" s="1"/>
  <c r="C45" i="1"/>
  <c r="C34" i="2" s="1"/>
  <c r="C35" i="2" s="1"/>
  <c r="C37" i="2" s="1"/>
  <c r="C41" i="1"/>
  <c r="C70" i="2"/>
  <c r="C71" i="2" s="1"/>
  <c r="C15" i="2"/>
  <c r="C17" i="2" s="1"/>
  <c r="C19" i="2" s="1"/>
  <c r="C29" i="2"/>
  <c r="C27" i="3"/>
  <c r="C73" i="2"/>
  <c r="C21" i="1"/>
  <c r="C10" i="2" s="1"/>
  <c r="C20" i="1"/>
  <c r="C9" i="2" s="1"/>
  <c r="C6" i="2"/>
  <c r="C8" i="2"/>
  <c r="C22" i="1"/>
  <c r="C10" i="3"/>
  <c r="C11" i="3" s="1"/>
  <c r="C5" i="2"/>
  <c r="C11" i="2" l="1"/>
  <c r="C23" i="1"/>
  <c r="C12" i="2" s="1"/>
  <c r="C58" i="2" s="1"/>
  <c r="C30" i="2"/>
  <c r="C15" i="3" s="1"/>
  <c r="C21" i="2"/>
  <c r="C20" i="3"/>
  <c r="C26" i="3"/>
  <c r="C28" i="3" s="1"/>
  <c r="C49" i="2"/>
  <c r="C93" i="2"/>
  <c r="C78" i="2"/>
  <c r="C38" i="2"/>
  <c r="C16" i="3" s="1"/>
  <c r="C72" i="2"/>
  <c r="C74" i="2" s="1"/>
  <c r="C75" i="2" s="1"/>
  <c r="C80" i="2" s="1"/>
  <c r="C34" i="3"/>
  <c r="C35" i="3"/>
  <c r="C36" i="3"/>
  <c r="C52" i="2" l="1"/>
  <c r="C56" i="2" s="1"/>
  <c r="C19" i="3"/>
  <c r="C39" i="2"/>
  <c r="C42" i="2"/>
  <c r="C22" i="2"/>
  <c r="C31" i="2"/>
  <c r="C85" i="2"/>
  <c r="C43" i="2" l="1"/>
  <c r="C14" i="3"/>
  <c r="C17" i="3" s="1"/>
  <c r="C23" i="3" s="1"/>
  <c r="C23" i="2"/>
  <c r="C44" i="2" s="1"/>
  <c r="C55" i="2" s="1"/>
  <c r="C57" i="2" s="1"/>
  <c r="C59" i="2" s="1"/>
  <c r="C89" i="2"/>
  <c r="C102" i="2"/>
  <c r="C86" i="2"/>
  <c r="C87" i="2" s="1"/>
  <c r="C100" i="2" l="1"/>
  <c r="C103" i="2" s="1"/>
  <c r="C104" i="2" s="1"/>
  <c r="C61" i="2"/>
  <c r="C81" i="2"/>
  <c r="C79" i="2"/>
  <c r="C82" i="2" s="1"/>
  <c r="C92" i="2" s="1"/>
  <c r="C94" i="2" s="1"/>
  <c r="C96" i="2" s="1"/>
  <c r="C97" i="2" s="1"/>
  <c r="C62" i="2"/>
  <c r="C40" i="3"/>
  <c r="C30" i="3"/>
  <c r="C38" i="3"/>
  <c r="D35" i="3"/>
  <c r="D34" i="3"/>
  <c r="C39" i="3" l="1"/>
  <c r="D36" i="3"/>
</calcChain>
</file>

<file path=xl/sharedStrings.xml><?xml version="1.0" encoding="utf-8"?>
<sst xmlns="http://schemas.openxmlformats.org/spreadsheetml/2006/main" count="212" uniqueCount="203">
  <si>
    <t>OVERWATER VILLA FLEET — REV. 4</t>
  </si>
  <si>
    <t>All blue cells are inputs — change them to run scenarios</t>
  </si>
  <si>
    <t>1A. THE ASSET</t>
  </si>
  <si>
    <t>Retail MSRP</t>
  </si>
  <si>
    <t>Dealer discount (%)</t>
  </si>
  <si>
    <t>Dealer cost per boat</t>
  </si>
  <si>
    <t>Total boats</t>
  </si>
  <si>
    <t>Revenue boats</t>
  </si>
  <si>
    <t>Crew/HQ boats</t>
  </si>
  <si>
    <t>LOA for slip billing (ft)</t>
  </si>
  <si>
    <t>1B. FINANCING</t>
  </si>
  <si>
    <t>Down payment %</t>
  </si>
  <si>
    <t>Interest rate (annual)</t>
  </si>
  <si>
    <t>Amortization (years)</t>
  </si>
  <si>
    <t>Monthly rate</t>
  </si>
  <si>
    <t>Periods (months)</t>
  </si>
  <si>
    <t>Fleet dealer cost</t>
  </si>
  <si>
    <t>Cash equity (down payment)</t>
  </si>
  <si>
    <t>Loan principal</t>
  </si>
  <si>
    <t>Monthly payment</t>
  </si>
  <si>
    <t>Annual debt service</t>
  </si>
  <si>
    <t>1C. OPERATIONAL CALENDAR</t>
  </si>
  <si>
    <t>Calendar year (days)</t>
  </si>
  <si>
    <t>Southbound migration (days)</t>
  </si>
  <si>
    <t>Northbound sprint (days)</t>
  </si>
  <si>
    <t>Total migration downtime</t>
  </si>
  <si>
    <t>Active port days</t>
  </si>
  <si>
    <t>Active excursion weeks</t>
  </si>
  <si>
    <t>1D. JV RATES &amp; SPLITS</t>
  </si>
  <si>
    <t>Villa nightly rate floor</t>
  </si>
  <si>
    <t>Excursion day rate</t>
  </si>
  <si>
    <t>Hotel commission — villas</t>
  </si>
  <si>
    <t>Hotel commission — excursions</t>
  </si>
  <si>
    <t>1E. OCCUPANCY &amp; UTILIZATION</t>
  </si>
  <si>
    <t>Villa occupancy rate</t>
  </si>
  <si>
    <t>Nights per boat per year</t>
  </si>
  <si>
    <t>Hotel excursions/boat/week</t>
  </si>
  <si>
    <t>Hotel excursions/boat/year</t>
  </si>
  <si>
    <t>Operator calendar bump</t>
  </si>
  <si>
    <t>Operator excursions/boat/year</t>
  </si>
  <si>
    <t>Excursion duration (hours)</t>
  </si>
  <si>
    <t>1F. STAFFING</t>
  </si>
  <si>
    <t>Captains</t>
  </si>
  <si>
    <t>Captain salary each</t>
  </si>
  <si>
    <t>Stewards</t>
  </si>
  <si>
    <t>Steward salary each</t>
  </si>
  <si>
    <t>Total crew payroll</t>
  </si>
  <si>
    <t>1G. HOUSEKEEPING</t>
  </si>
  <si>
    <t>Cost per villa night (to hotel)</t>
  </si>
  <si>
    <t>Hotel actual laundry cost/night</t>
  </si>
  <si>
    <t>1H. INSURANCE &amp; MAINTENANCE</t>
  </si>
  <si>
    <t>Budget per boat per year</t>
  </si>
  <si>
    <t>P&amp;I umbrella</t>
  </si>
  <si>
    <t>1I. FUEL &amp; CONSUMABLES</t>
  </si>
  <si>
    <t>Annual fuel budget</t>
  </si>
  <si>
    <t>1J. CONVOY SPRINT</t>
  </si>
  <si>
    <t>Freelance captains</t>
  </si>
  <si>
    <t>Daily rate</t>
  </si>
  <si>
    <t>Duration (days)</t>
  </si>
  <si>
    <t>Flights</t>
  </si>
  <si>
    <t>Total convoy cost</t>
  </si>
  <si>
    <t>1K. EXIT / LIQUIDATION</t>
  </si>
  <si>
    <t>Exit timing (months)</t>
  </si>
  <si>
    <t>Conservative residual (% MSRP)</t>
  </si>
  <si>
    <t>Upside residual (% MSRP)</t>
  </si>
  <si>
    <t>1L. CRISIS YEAR</t>
  </si>
  <si>
    <t>Crisis villa occupancy</t>
  </si>
  <si>
    <t>Crisis baseline excursions (fleet)</t>
  </si>
  <si>
    <t>Crisis operator bump</t>
  </si>
  <si>
    <t>1M. HOTEL BASELINE</t>
  </si>
  <si>
    <t>Transient rate ($/ft/night)</t>
  </si>
  <si>
    <t>Transient occupancy</t>
  </si>
  <si>
    <t>1N. HOTEL ANCILLARY</t>
  </si>
  <si>
    <t>Villa guest F&amp;B/spa ($/night)</t>
  </si>
  <si>
    <t>Excursion guest ($/excursion)</t>
  </si>
  <si>
    <t>OWNER/OPERATOR — DETAILED FINANCIAL MODEL</t>
  </si>
  <si>
    <t>CAPITAL STRUCTURE</t>
  </si>
  <si>
    <t>MSRP per boat</t>
  </si>
  <si>
    <t>Fleet dealer cost (6 boats)</t>
  </si>
  <si>
    <t>Fleet retail value</t>
  </si>
  <si>
    <t>Day-1 equity cushion</t>
  </si>
  <si>
    <t>Cash equity (25%)</t>
  </si>
  <si>
    <t>Loan principal (75%)</t>
  </si>
  <si>
    <t>STREAM A: VILLA NIGHTS</t>
  </si>
  <si>
    <t>Villa occupancy</t>
  </si>
  <si>
    <t>Nights per boat</t>
  </si>
  <si>
    <t>Total fleet villa nights</t>
  </si>
  <si>
    <t>Nightly rate</t>
  </si>
  <si>
    <t>GROSS VILLA REVENUE</t>
  </si>
  <si>
    <t>Hotel cut (22.5%)</t>
  </si>
  <si>
    <t>OPERATOR VILLA SHARE (77.5%)</t>
  </si>
  <si>
    <t>STREAM B: HOTEL EXCURSIONS</t>
  </si>
  <si>
    <t>Excursions/boat/year</t>
  </si>
  <si>
    <t>Total fleet excursions</t>
  </si>
  <si>
    <t>Rate/excursion</t>
  </si>
  <si>
    <t>GROSS EXCURSION REVENUE</t>
  </si>
  <si>
    <t>Hotel cut (20%)</t>
  </si>
  <si>
    <t>OPERATOR EXCURSION SHARE (80%)</t>
  </si>
  <si>
    <t>STREAM C: OPERATOR EXCURSIONS (+20%)</t>
  </si>
  <si>
    <t>Extra excursions/boat/year</t>
  </si>
  <si>
    <t>Total fleet extra excursions</t>
  </si>
  <si>
    <t>GROSS EXTRA REVENUE</t>
  </si>
  <si>
    <t>OPERATOR EXTRA SHARE (80%)</t>
  </si>
  <si>
    <t>REVENUE TOTALS</t>
  </si>
  <si>
    <t>Total gross revenue</t>
  </si>
  <si>
    <t>Total hotel intake</t>
  </si>
  <si>
    <t>OPERATOR GROSS SHARE</t>
  </si>
  <si>
    <t>OPERATING EXPENSES</t>
  </si>
  <si>
    <t>Crew payroll</t>
  </si>
  <si>
    <t>Convoy sprint</t>
  </si>
  <si>
    <t>Laundry &amp; amenities</t>
  </si>
  <si>
    <t>Insurance &amp; maintenance</t>
  </si>
  <si>
    <t>Fuel &amp; consumables</t>
  </si>
  <si>
    <t>TOTAL OPEX</t>
  </si>
  <si>
    <t>ANNUAL P&amp;L</t>
  </si>
  <si>
    <t>Operator gross share</t>
  </si>
  <si>
    <t>Less: Total OpEx</t>
  </si>
  <si>
    <t>NOI</t>
  </si>
  <si>
    <t>Less: Debt service</t>
  </si>
  <si>
    <t>NET CASH FLOW</t>
  </si>
  <si>
    <t>Cash-on-Cash ROI</t>
  </si>
  <si>
    <t>Equity Payback (months)</t>
  </si>
  <si>
    <t>3-YEAR LIFECYCLE</t>
  </si>
  <si>
    <t>CRISIS YEAR (Year 2):</t>
  </si>
  <si>
    <t xml:space="preserve">  Crisis villa nights (fleet)</t>
  </si>
  <si>
    <t xml:space="preserve">  Crisis villa op share</t>
  </si>
  <si>
    <t xml:space="preserve">  Crisis base excursions</t>
  </si>
  <si>
    <t xml:space="preserve">  Crisis base ex op share</t>
  </si>
  <si>
    <t xml:space="preserve">  Crisis extra excursions</t>
  </si>
  <si>
    <t xml:space="preserve">  Crisis extra ex op share</t>
  </si>
  <si>
    <t xml:space="preserve">  Crisis op share total</t>
  </si>
  <si>
    <t xml:space="preserve">  Crisis OpEx</t>
  </si>
  <si>
    <t xml:space="preserve">  Crisis NOI</t>
  </si>
  <si>
    <t xml:space="preserve">  CRISIS NET CASH FLOW</t>
  </si>
  <si>
    <t>TIMELINE:</t>
  </si>
  <si>
    <t xml:space="preserve">  Initial equity</t>
  </si>
  <si>
    <t xml:space="preserve">  Year 1 — Optimized</t>
  </si>
  <si>
    <t xml:space="preserve">  Year 2 — Perfect Storm</t>
  </si>
  <si>
    <t xml:space="preserve">  Year 3 — Recovery</t>
  </si>
  <si>
    <t xml:space="preserve">  Cumulative operating cash</t>
  </si>
  <si>
    <t>EXIT:</t>
  </si>
  <si>
    <t xml:space="preserve">  Loan balance @36 months</t>
  </si>
  <si>
    <t xml:space="preserve">  Principal paid down</t>
  </si>
  <si>
    <t xml:space="preserve">  Interest paid (36 months)</t>
  </si>
  <si>
    <t xml:space="preserve">  Fleet sale (50% MSRP)</t>
  </si>
  <si>
    <t xml:space="preserve">  Exit surplus</t>
  </si>
  <si>
    <t>SETTLEMENT:</t>
  </si>
  <si>
    <t xml:space="preserve">  Total cash extracted</t>
  </si>
  <si>
    <t xml:space="preserve">  Less: Initial equity</t>
  </si>
  <si>
    <t xml:space="preserve">  NET LIFECYCLE PROFIT</t>
  </si>
  <si>
    <t>3-Year ROE</t>
  </si>
  <si>
    <t>Annualized ROI</t>
  </si>
  <si>
    <t>UPSIDE — 60% MSRP, NO CRISIS</t>
  </si>
  <si>
    <t>Cumulative cash (no crisis)</t>
  </si>
  <si>
    <t>Fleet sale (60% MSRP)</t>
  </si>
  <si>
    <t>Exit surplus</t>
  </si>
  <si>
    <t>NET LIFECYCLE PROFIT (upside)</t>
  </si>
  <si>
    <t>3-Year ROE (upside)</t>
  </si>
  <si>
    <t>HOTEL / MARINA — DETAILED FINANCIALS</t>
  </si>
  <si>
    <t>BASELINE — TRANSIENT DOCKAGE</t>
  </si>
  <si>
    <t>Number of slips</t>
  </si>
  <si>
    <t>LOA for billing (ft)</t>
  </si>
  <si>
    <t>Billable nights</t>
  </si>
  <si>
    <t>Revenue per slip per night</t>
  </si>
  <si>
    <t>Revenue per slip per year</t>
  </si>
  <si>
    <t>TOTAL TRANSIENT BASELINE</t>
  </si>
  <si>
    <t>JV INCOME BREAKDOWN</t>
  </si>
  <si>
    <t>Villa commission (22.5%)</t>
  </si>
  <si>
    <t>Base excursion commission (20%)</t>
  </si>
  <si>
    <t>Operator excursion commission (20%)</t>
  </si>
  <si>
    <t>Total commission income</t>
  </si>
  <si>
    <t>Laundry fees from operator</t>
  </si>
  <si>
    <t>Hotel laundry cost</t>
  </si>
  <si>
    <t>Admin/PMS integration</t>
  </si>
  <si>
    <t>HOTEL NET JV PROFIT</t>
  </si>
  <si>
    <t>ANCILLARY REVENUE (ESTIMATED)</t>
  </si>
  <si>
    <t>Villa F&amp;B/spa spend</t>
  </si>
  <si>
    <t>Excursion guest spend</t>
  </si>
  <si>
    <t>Total ancillary</t>
  </si>
  <si>
    <t>TOTAL HOTEL ECONOMIC BENEFIT</t>
  </si>
  <si>
    <t>HEAD-TO-HEAD COMPARISON</t>
  </si>
  <si>
    <t>Transient</t>
  </si>
  <si>
    <t>JV Model</t>
  </si>
  <si>
    <t>Net annual to hotel</t>
  </si>
  <si>
    <t>Yield per linear foot</t>
  </si>
  <si>
    <t>Total with ancillary</t>
  </si>
  <si>
    <t>Uplift — JV profit only</t>
  </si>
  <si>
    <t>Uplift — with ancillary</t>
  </si>
  <si>
    <t>Quarterly uplift ($)</t>
  </si>
  <si>
    <t>SENSITIVITY — ANNUAL NET CASH FLOW</t>
  </si>
  <si>
    <t>After all OpEx + debt service; excursion revenue held constant</t>
  </si>
  <si>
    <t>Villa Rate</t>
  </si>
  <si>
    <t>50% Occ</t>
  </si>
  <si>
    <t>35% Occ</t>
  </si>
  <si>
    <t>25% Occ</t>
  </si>
  <si>
    <t>15% Occ</t>
  </si>
  <si>
    <t>$3,000/nt</t>
  </si>
  <si>
    <t>$2,500/nt</t>
  </si>
  <si>
    <t>$2,000/nt</t>
  </si>
  <si>
    <t>$1,500/nt</t>
  </si>
  <si>
    <t>$1,000/nt</t>
  </si>
  <si>
    <t>★ Teal = base case ($2,000/night at 35% occ)</t>
  </si>
  <si>
    <t>Cash-positive across every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</si>
</sst>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0.00000000"/>
    <numFmt numFmtId="167" formatCode="\$#,##0.00"/>
    <numFmt numFmtId="168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0B1D3A"/>
      <name val="Arial"/>
      <charset val="1"/>
    </font>
    <font>
      <i/>
      <sz val="9"/>
      <color rgb="FF666666"/>
      <name val="Arial"/>
      <charset val="1"/>
    </font>
    <font>
      <b/>
      <sz val="12"/>
      <color rgb="FF0B1D3A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CE6F1"/>
      </patternFill>
    </fill>
    <fill>
      <patternFill patternType="solid">
        <fgColor rgb="FFFCE4E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0B1D3A"/>
        <bgColor rgb="FF003300"/>
      </patternFill>
    </fill>
    <fill>
      <patternFill patternType="solid">
        <fgColor rgb="FF028090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164" fontId="5" fillId="3" borderId="0" xfId="0" applyNumberFormat="1" applyFont="1" applyFill="1"/>
    <xf numFmtId="165" fontId="5" fillId="3" borderId="0" xfId="0" applyNumberFormat="1" applyFont="1" applyFill="1"/>
    <xf numFmtId="164" fontId="4" fillId="0" borderId="0" xfId="0" applyNumberFormat="1" applyFont="1"/>
    <xf numFmtId="0" fontId="5" fillId="3" borderId="0" xfId="0" applyFont="1" applyFill="1"/>
    <xf numFmtId="166" fontId="4" fillId="0" borderId="0" xfId="0" applyNumberFormat="1" applyFont="1"/>
    <xf numFmtId="3" fontId="4" fillId="0" borderId="0" xfId="0" applyNumberFormat="1" applyFont="1"/>
    <xf numFmtId="167" fontId="4" fillId="0" borderId="0" xfId="0" applyNumberFormat="1" applyFont="1"/>
    <xf numFmtId="164" fontId="6" fillId="0" borderId="0" xfId="0" applyNumberFormat="1" applyFont="1"/>
    <xf numFmtId="167" fontId="6" fillId="0" borderId="0" xfId="0" applyNumberFormat="1" applyFont="1"/>
    <xf numFmtId="3" fontId="6" fillId="0" borderId="0" xfId="0" applyNumberFormat="1" applyFont="1"/>
    <xf numFmtId="165" fontId="6" fillId="0" borderId="0" xfId="0" applyNumberFormat="1" applyFont="1"/>
    <xf numFmtId="164" fontId="7" fillId="0" borderId="0" xfId="0" applyNumberFormat="1" applyFont="1"/>
    <xf numFmtId="0" fontId="4" fillId="4" borderId="0" xfId="0" applyFont="1" applyFill="1"/>
    <xf numFmtId="164" fontId="7" fillId="4" borderId="0" xfId="0" applyNumberFormat="1" applyFont="1" applyFill="1"/>
    <xf numFmtId="0" fontId="4" fillId="5" borderId="0" xfId="0" applyFont="1" applyFill="1"/>
    <xf numFmtId="164" fontId="7" fillId="5" borderId="0" xfId="0" applyNumberFormat="1" applyFont="1" applyFill="1"/>
    <xf numFmtId="165" fontId="7" fillId="0" borderId="0" xfId="0" applyNumberFormat="1" applyFont="1"/>
    <xf numFmtId="168" fontId="7" fillId="0" borderId="0" xfId="0" applyNumberFormat="1" applyFont="1"/>
    <xf numFmtId="0" fontId="7" fillId="0" borderId="0" xfId="0" applyFont="1"/>
    <xf numFmtId="0" fontId="4" fillId="6" borderId="0" xfId="0" applyFont="1" applyFill="1"/>
    <xf numFmtId="164" fontId="7" fillId="6" borderId="0" xfId="0" applyNumberFormat="1" applyFont="1" applyFill="1"/>
    <xf numFmtId="0" fontId="8" fillId="7" borderId="0" xfId="0" applyFont="1" applyFill="1"/>
    <xf numFmtId="0" fontId="8" fillId="7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8" fillId="8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1D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9"/>
  <sheetViews>
    <sheetView zoomScaleNormal="100" workbookViewId="0"/>
  </sheetViews>
  <sheetFormatPr defaultColWidth="8.7109375" defaultRowHeight="15" x14ac:dyDescent="0.25"/>
  <cols>
    <col min="1" max="1" width="4" customWidth="1"/>
    <col min="2" max="2" width="45" customWidth="1"/>
    <col min="3" max="3" width="18" customWidth="1"/>
    <col min="4" max="4" width="30" customWidth="1"/>
  </cols>
  <sheetData>
    <row r="1" spans="2:6" ht="17.25" customHeight="1" x14ac:dyDescent="0.25">
      <c r="B1" s="1" t="s">
        <v>0</v>
      </c>
    </row>
    <row r="2" spans="2:6" ht="15" customHeight="1" x14ac:dyDescent="0.25">
      <c r="B2" s="2" t="s">
        <v>1</v>
      </c>
    </row>
    <row r="4" spans="2:6" ht="15" customHeight="1" x14ac:dyDescent="0.25">
      <c r="B4" s="3" t="s">
        <v>2</v>
      </c>
      <c r="C4" s="4"/>
      <c r="D4" s="4"/>
      <c r="E4" s="4"/>
      <c r="F4" s="4"/>
    </row>
    <row r="5" spans="2:6" ht="15" customHeight="1" x14ac:dyDescent="0.25">
      <c r="B5" s="5" t="s">
        <v>3</v>
      </c>
      <c r="C5" s="6">
        <v>1250000</v>
      </c>
    </row>
    <row r="6" spans="2:6" ht="15" customHeight="1" x14ac:dyDescent="0.25">
      <c r="B6" s="5" t="s">
        <v>4</v>
      </c>
      <c r="C6" s="7">
        <v>0.35</v>
      </c>
    </row>
    <row r="7" spans="2:6" ht="15" customHeight="1" x14ac:dyDescent="0.25">
      <c r="B7" s="5" t="s">
        <v>5</v>
      </c>
      <c r="C7" s="8">
        <f>C5*(1-C6)</f>
        <v>812500</v>
      </c>
    </row>
    <row r="8" spans="2:6" ht="15" customHeight="1" x14ac:dyDescent="0.25">
      <c r="B8" s="5" t="s">
        <v>6</v>
      </c>
      <c r="C8" s="9">
        <v>6</v>
      </c>
    </row>
    <row r="9" spans="2:6" ht="15" customHeight="1" x14ac:dyDescent="0.25">
      <c r="B9" s="5" t="s">
        <v>7</v>
      </c>
      <c r="C9" s="9">
        <v>5</v>
      </c>
    </row>
    <row r="10" spans="2:6" ht="15" customHeight="1" x14ac:dyDescent="0.25">
      <c r="B10" s="5" t="s">
        <v>8</v>
      </c>
      <c r="C10" s="9">
        <v>1</v>
      </c>
    </row>
    <row r="11" spans="2:6" ht="15" customHeight="1" x14ac:dyDescent="0.25">
      <c r="B11" s="5" t="s">
        <v>9</v>
      </c>
      <c r="C11" s="9">
        <v>50</v>
      </c>
    </row>
    <row r="13" spans="2:6" ht="15" customHeight="1" x14ac:dyDescent="0.25">
      <c r="B13" s="3" t="s">
        <v>10</v>
      </c>
      <c r="C13" s="4"/>
      <c r="D13" s="4"/>
      <c r="E13" s="4"/>
      <c r="F13" s="4"/>
    </row>
    <row r="14" spans="2:6" ht="15" customHeight="1" x14ac:dyDescent="0.25">
      <c r="B14" s="5" t="s">
        <v>11</v>
      </c>
      <c r="C14" s="7">
        <v>0.25</v>
      </c>
    </row>
    <row r="15" spans="2:6" ht="15" customHeight="1" x14ac:dyDescent="0.25">
      <c r="B15" s="5" t="s">
        <v>12</v>
      </c>
      <c r="C15" s="7">
        <v>7.0000000000000007E-2</v>
      </c>
    </row>
    <row r="16" spans="2:6" ht="15" customHeight="1" x14ac:dyDescent="0.25">
      <c r="B16" s="5" t="s">
        <v>13</v>
      </c>
      <c r="C16" s="9">
        <v>20</v>
      </c>
    </row>
    <row r="17" spans="2:6" ht="15" customHeight="1" x14ac:dyDescent="0.25">
      <c r="B17" s="5" t="s">
        <v>14</v>
      </c>
      <c r="C17" s="10">
        <f>C15/12</f>
        <v>5.8333333333333336E-3</v>
      </c>
    </row>
    <row r="18" spans="2:6" ht="15" customHeight="1" x14ac:dyDescent="0.25">
      <c r="B18" s="5" t="s">
        <v>15</v>
      </c>
      <c r="C18" s="11">
        <f>C16*12</f>
        <v>240</v>
      </c>
    </row>
    <row r="19" spans="2:6" ht="15" customHeight="1" x14ac:dyDescent="0.25">
      <c r="B19" s="5" t="s">
        <v>16</v>
      </c>
      <c r="C19" s="8">
        <f>C7*C8</f>
        <v>4875000</v>
      </c>
    </row>
    <row r="20" spans="2:6" ht="15" customHeight="1" x14ac:dyDescent="0.25">
      <c r="B20" s="5" t="s">
        <v>17</v>
      </c>
      <c r="C20" s="8">
        <f>C19*C14</f>
        <v>1218750</v>
      </c>
    </row>
    <row r="21" spans="2:6" ht="15" customHeight="1" x14ac:dyDescent="0.25">
      <c r="B21" s="5" t="s">
        <v>18</v>
      </c>
      <c r="C21" s="8">
        <f>C19*(1-C14)</f>
        <v>3656250</v>
      </c>
    </row>
    <row r="22" spans="2:6" ht="15" customHeight="1" x14ac:dyDescent="0.25">
      <c r="B22" s="5" t="s">
        <v>19</v>
      </c>
      <c r="C22" s="12">
        <f>-PMT(C17,C18,C21)</f>
        <v>28346.867333565104</v>
      </c>
    </row>
    <row r="23" spans="2:6" ht="15" customHeight="1" x14ac:dyDescent="0.25">
      <c r="B23" s="5" t="s">
        <v>20</v>
      </c>
      <c r="C23" s="8">
        <f>C22*12</f>
        <v>340162.40800278122</v>
      </c>
    </row>
    <row r="25" spans="2:6" ht="15" customHeight="1" x14ac:dyDescent="0.25">
      <c r="B25" s="3" t="s">
        <v>21</v>
      </c>
      <c r="C25" s="4"/>
      <c r="D25" s="4"/>
      <c r="E25" s="4"/>
      <c r="F25" s="4"/>
    </row>
    <row r="26" spans="2:6" ht="15" customHeight="1" x14ac:dyDescent="0.25">
      <c r="B26" s="5" t="s">
        <v>22</v>
      </c>
      <c r="C26" s="9">
        <v>365</v>
      </c>
    </row>
    <row r="27" spans="2:6" ht="15" customHeight="1" x14ac:dyDescent="0.25">
      <c r="B27" s="5" t="s">
        <v>23</v>
      </c>
      <c r="C27" s="9">
        <v>24</v>
      </c>
    </row>
    <row r="28" spans="2:6" ht="15" customHeight="1" x14ac:dyDescent="0.25">
      <c r="B28" s="5" t="s">
        <v>24</v>
      </c>
      <c r="C28" s="9">
        <v>6</v>
      </c>
    </row>
    <row r="29" spans="2:6" ht="15" customHeight="1" x14ac:dyDescent="0.25">
      <c r="B29" s="5" t="s">
        <v>25</v>
      </c>
      <c r="C29" s="11">
        <f>C27+C28</f>
        <v>30</v>
      </c>
    </row>
    <row r="30" spans="2:6" ht="15" customHeight="1" x14ac:dyDescent="0.25">
      <c r="B30" s="5" t="s">
        <v>26</v>
      </c>
      <c r="C30" s="11">
        <f>C26-C29</f>
        <v>335</v>
      </c>
    </row>
    <row r="31" spans="2:6" ht="15" customHeight="1" x14ac:dyDescent="0.25">
      <c r="B31" s="5" t="s">
        <v>27</v>
      </c>
      <c r="C31" s="9">
        <v>48</v>
      </c>
    </row>
    <row r="33" spans="2:6" ht="15" customHeight="1" x14ac:dyDescent="0.25">
      <c r="B33" s="3" t="s">
        <v>28</v>
      </c>
      <c r="C33" s="4"/>
      <c r="D33" s="4"/>
      <c r="E33" s="4"/>
      <c r="F33" s="4"/>
    </row>
    <row r="34" spans="2:6" ht="15" customHeight="1" x14ac:dyDescent="0.25">
      <c r="B34" s="5" t="s">
        <v>29</v>
      </c>
      <c r="C34" s="6">
        <v>2000</v>
      </c>
    </row>
    <row r="35" spans="2:6" ht="15" customHeight="1" x14ac:dyDescent="0.25">
      <c r="B35" s="5" t="s">
        <v>30</v>
      </c>
      <c r="C35" s="6">
        <v>2000</v>
      </c>
    </row>
    <row r="36" spans="2:6" ht="15" customHeight="1" x14ac:dyDescent="0.25">
      <c r="B36" s="5" t="s">
        <v>31</v>
      </c>
      <c r="C36" s="7">
        <v>0.22500000000000001</v>
      </c>
    </row>
    <row r="37" spans="2:6" ht="15" customHeight="1" x14ac:dyDescent="0.25">
      <c r="B37" s="5" t="s">
        <v>32</v>
      </c>
      <c r="C37" s="7">
        <v>0.2</v>
      </c>
    </row>
    <row r="39" spans="2:6" ht="15" customHeight="1" x14ac:dyDescent="0.25">
      <c r="B39" s="3" t="s">
        <v>33</v>
      </c>
      <c r="C39" s="4"/>
      <c r="D39" s="4"/>
      <c r="E39" s="4"/>
      <c r="F39" s="4"/>
    </row>
    <row r="40" spans="2:6" ht="15" customHeight="1" x14ac:dyDescent="0.25">
      <c r="B40" s="5" t="s">
        <v>34</v>
      </c>
      <c r="C40" s="7">
        <v>0.35</v>
      </c>
    </row>
    <row r="41" spans="2:6" ht="15" customHeight="1" x14ac:dyDescent="0.25">
      <c r="B41" s="5" t="s">
        <v>35</v>
      </c>
      <c r="C41" s="11">
        <f>INT(C30*C40)</f>
        <v>117</v>
      </c>
    </row>
    <row r="42" spans="2:6" ht="15" customHeight="1" x14ac:dyDescent="0.25">
      <c r="B42" s="5" t="s">
        <v>36</v>
      </c>
      <c r="C42" s="9">
        <v>1</v>
      </c>
    </row>
    <row r="43" spans="2:6" ht="15" customHeight="1" x14ac:dyDescent="0.25">
      <c r="B43" s="5" t="s">
        <v>37</v>
      </c>
      <c r="C43" s="11">
        <f>C42*C31</f>
        <v>48</v>
      </c>
    </row>
    <row r="44" spans="2:6" ht="15" customHeight="1" x14ac:dyDescent="0.25">
      <c r="B44" s="5" t="s">
        <v>38</v>
      </c>
      <c r="C44" s="7">
        <v>0.2</v>
      </c>
    </row>
    <row r="45" spans="2:6" ht="15" customHeight="1" x14ac:dyDescent="0.25">
      <c r="B45" s="5" t="s">
        <v>39</v>
      </c>
      <c r="C45" s="11">
        <f>INT(C30*C44)</f>
        <v>67</v>
      </c>
    </row>
    <row r="46" spans="2:6" ht="15" customHeight="1" x14ac:dyDescent="0.25">
      <c r="B46" s="5" t="s">
        <v>40</v>
      </c>
      <c r="C46" s="9">
        <v>3</v>
      </c>
    </row>
    <row r="48" spans="2:6" ht="15" customHeight="1" x14ac:dyDescent="0.25">
      <c r="B48" s="3" t="s">
        <v>41</v>
      </c>
      <c r="C48" s="4"/>
      <c r="D48" s="4"/>
      <c r="E48" s="4"/>
      <c r="F48" s="4"/>
    </row>
    <row r="49" spans="2:6" ht="15" customHeight="1" x14ac:dyDescent="0.25">
      <c r="B49" s="5" t="s">
        <v>42</v>
      </c>
      <c r="C49" s="9">
        <v>2</v>
      </c>
    </row>
    <row r="50" spans="2:6" ht="15" customHeight="1" x14ac:dyDescent="0.25">
      <c r="B50" s="5" t="s">
        <v>43</v>
      </c>
      <c r="C50" s="6">
        <v>70000</v>
      </c>
    </row>
    <row r="51" spans="2:6" ht="15" customHeight="1" x14ac:dyDescent="0.25">
      <c r="B51" s="5" t="s">
        <v>44</v>
      </c>
      <c r="C51" s="9">
        <v>2</v>
      </c>
    </row>
    <row r="52" spans="2:6" ht="15" customHeight="1" x14ac:dyDescent="0.25">
      <c r="B52" s="5" t="s">
        <v>45</v>
      </c>
      <c r="C52" s="6">
        <v>60000</v>
      </c>
    </row>
    <row r="53" spans="2:6" ht="15" customHeight="1" x14ac:dyDescent="0.25">
      <c r="B53" s="5" t="s">
        <v>46</v>
      </c>
      <c r="C53" s="8">
        <f>C49*C50+C51*C52</f>
        <v>260000</v>
      </c>
    </row>
    <row r="55" spans="2:6" ht="15" customHeight="1" x14ac:dyDescent="0.25">
      <c r="B55" s="3" t="s">
        <v>47</v>
      </c>
      <c r="C55" s="4"/>
      <c r="D55" s="4"/>
      <c r="E55" s="4"/>
      <c r="F55" s="4"/>
    </row>
    <row r="56" spans="2:6" ht="15" customHeight="1" x14ac:dyDescent="0.25">
      <c r="B56" s="5" t="s">
        <v>48</v>
      </c>
      <c r="C56" s="6">
        <v>50</v>
      </c>
    </row>
    <row r="57" spans="2:6" ht="15" customHeight="1" x14ac:dyDescent="0.25">
      <c r="B57" s="5" t="s">
        <v>49</v>
      </c>
      <c r="C57" s="6">
        <v>15</v>
      </c>
    </row>
    <row r="59" spans="2:6" ht="15" customHeight="1" x14ac:dyDescent="0.25">
      <c r="B59" s="3" t="s">
        <v>50</v>
      </c>
      <c r="C59" s="4"/>
      <c r="D59" s="4"/>
      <c r="E59" s="4"/>
      <c r="F59" s="4"/>
    </row>
    <row r="60" spans="2:6" ht="15" customHeight="1" x14ac:dyDescent="0.25">
      <c r="B60" s="5" t="s">
        <v>51</v>
      </c>
      <c r="C60" s="6">
        <v>20000</v>
      </c>
    </row>
    <row r="61" spans="2:6" ht="15" customHeight="1" x14ac:dyDescent="0.25">
      <c r="B61" s="5" t="s">
        <v>52</v>
      </c>
      <c r="C61" s="6">
        <v>10000000</v>
      </c>
    </row>
    <row r="63" spans="2:6" ht="15" customHeight="1" x14ac:dyDescent="0.25">
      <c r="B63" s="3" t="s">
        <v>53</v>
      </c>
      <c r="C63" s="4"/>
      <c r="D63" s="4"/>
      <c r="E63" s="4"/>
      <c r="F63" s="4"/>
    </row>
    <row r="64" spans="2:6" ht="15" customHeight="1" x14ac:dyDescent="0.25">
      <c r="B64" s="5" t="s">
        <v>54</v>
      </c>
      <c r="C64" s="6">
        <v>130000</v>
      </c>
    </row>
    <row r="66" spans="2:6" ht="15" customHeight="1" x14ac:dyDescent="0.25">
      <c r="B66" s="3" t="s">
        <v>55</v>
      </c>
      <c r="C66" s="4"/>
      <c r="D66" s="4"/>
      <c r="E66" s="4"/>
      <c r="F66" s="4"/>
    </row>
    <row r="67" spans="2:6" ht="15" customHeight="1" x14ac:dyDescent="0.25">
      <c r="B67" s="5" t="s">
        <v>56</v>
      </c>
      <c r="C67" s="9">
        <v>8</v>
      </c>
    </row>
    <row r="68" spans="2:6" ht="15" customHeight="1" x14ac:dyDescent="0.25">
      <c r="B68" s="5" t="s">
        <v>57</v>
      </c>
      <c r="C68" s="6">
        <v>350</v>
      </c>
    </row>
    <row r="69" spans="2:6" ht="15" customHeight="1" x14ac:dyDescent="0.25">
      <c r="B69" s="5" t="s">
        <v>58</v>
      </c>
      <c r="C69" s="9">
        <v>6</v>
      </c>
    </row>
    <row r="70" spans="2:6" ht="15" customHeight="1" x14ac:dyDescent="0.25">
      <c r="B70" s="5" t="s">
        <v>59</v>
      </c>
      <c r="C70" s="6">
        <v>4000</v>
      </c>
    </row>
    <row r="71" spans="2:6" ht="15" customHeight="1" x14ac:dyDescent="0.25">
      <c r="B71" s="5" t="s">
        <v>60</v>
      </c>
      <c r="C71" s="8">
        <f>C67*C68*C69+C70</f>
        <v>20800</v>
      </c>
    </row>
    <row r="73" spans="2:6" ht="15" customHeight="1" x14ac:dyDescent="0.25">
      <c r="B73" s="3" t="s">
        <v>61</v>
      </c>
      <c r="C73" s="4"/>
      <c r="D73" s="4"/>
      <c r="E73" s="4"/>
      <c r="F73" s="4"/>
    </row>
    <row r="74" spans="2:6" ht="15" customHeight="1" x14ac:dyDescent="0.25">
      <c r="B74" s="5" t="s">
        <v>62</v>
      </c>
      <c r="C74" s="9">
        <v>36</v>
      </c>
    </row>
    <row r="75" spans="2:6" ht="15" customHeight="1" x14ac:dyDescent="0.25">
      <c r="B75" s="5" t="s">
        <v>63</v>
      </c>
      <c r="C75" s="7">
        <v>0.5</v>
      </c>
    </row>
    <row r="76" spans="2:6" ht="15" customHeight="1" x14ac:dyDescent="0.25">
      <c r="B76" s="5" t="s">
        <v>64</v>
      </c>
      <c r="C76" s="7">
        <v>0.6</v>
      </c>
    </row>
    <row r="78" spans="2:6" ht="15" customHeight="1" x14ac:dyDescent="0.25">
      <c r="B78" s="3" t="s">
        <v>65</v>
      </c>
      <c r="C78" s="4"/>
      <c r="D78" s="4"/>
      <c r="E78" s="4"/>
      <c r="F78" s="4"/>
    </row>
    <row r="79" spans="2:6" ht="15" customHeight="1" x14ac:dyDescent="0.25">
      <c r="B79" s="5" t="s">
        <v>66</v>
      </c>
      <c r="C79" s="7">
        <v>0.2</v>
      </c>
    </row>
    <row r="80" spans="2:6" ht="15" customHeight="1" x14ac:dyDescent="0.25">
      <c r="B80" s="5" t="s">
        <v>67</v>
      </c>
      <c r="C80" s="9">
        <v>200</v>
      </c>
    </row>
    <row r="81" spans="2:6" ht="15" customHeight="1" x14ac:dyDescent="0.25">
      <c r="B81" s="5" t="s">
        <v>68</v>
      </c>
      <c r="C81" s="7">
        <v>0.1</v>
      </c>
    </row>
    <row r="83" spans="2:6" ht="15" customHeight="1" x14ac:dyDescent="0.25">
      <c r="B83" s="3" t="s">
        <v>69</v>
      </c>
      <c r="C83" s="4"/>
      <c r="D83" s="4"/>
      <c r="E83" s="4"/>
      <c r="F83" s="4"/>
    </row>
    <row r="84" spans="2:6" ht="15" customHeight="1" x14ac:dyDescent="0.25">
      <c r="B84" s="5" t="s">
        <v>70</v>
      </c>
      <c r="C84" s="6">
        <v>6</v>
      </c>
    </row>
    <row r="85" spans="2:6" ht="15" customHeight="1" x14ac:dyDescent="0.25">
      <c r="B85" s="5" t="s">
        <v>71</v>
      </c>
      <c r="C85" s="7">
        <v>0.5</v>
      </c>
    </row>
    <row r="87" spans="2:6" ht="15" customHeight="1" x14ac:dyDescent="0.25">
      <c r="B87" s="3" t="s">
        <v>72</v>
      </c>
      <c r="C87" s="4"/>
      <c r="D87" s="4"/>
      <c r="E87" s="4"/>
      <c r="F87" s="4"/>
    </row>
    <row r="88" spans="2:6" ht="15" customHeight="1" x14ac:dyDescent="0.25">
      <c r="B88" s="5" t="s">
        <v>73</v>
      </c>
      <c r="C88" s="6">
        <v>200</v>
      </c>
    </row>
    <row r="89" spans="2:6" ht="15" customHeight="1" x14ac:dyDescent="0.25">
      <c r="B89" s="5" t="s">
        <v>74</v>
      </c>
      <c r="C89" s="6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4"/>
  <sheetViews>
    <sheetView topLeftCell="A72" zoomScaleNormal="100" workbookViewId="0"/>
  </sheetViews>
  <sheetFormatPr defaultColWidth="8.7109375" defaultRowHeight="15" x14ac:dyDescent="0.25"/>
  <cols>
    <col min="1" max="1" width="4" customWidth="1"/>
    <col min="2" max="2" width="50" customWidth="1"/>
    <col min="3" max="3" width="22" customWidth="1"/>
  </cols>
  <sheetData>
    <row r="1" spans="2:6" ht="17.25" customHeight="1" x14ac:dyDescent="0.25">
      <c r="B1" s="1" t="s">
        <v>75</v>
      </c>
    </row>
    <row r="3" spans="2:6" ht="15" customHeight="1" x14ac:dyDescent="0.25">
      <c r="B3" s="3" t="s">
        <v>76</v>
      </c>
      <c r="C3" s="4"/>
      <c r="D3" s="4"/>
      <c r="E3" s="4"/>
      <c r="F3" s="4"/>
    </row>
    <row r="4" spans="2:6" ht="15" customHeight="1" x14ac:dyDescent="0.25">
      <c r="B4" s="5" t="s">
        <v>77</v>
      </c>
      <c r="C4" s="13">
        <f>Assumptions!C5</f>
        <v>1250000</v>
      </c>
    </row>
    <row r="5" spans="2:6" ht="15" customHeight="1" x14ac:dyDescent="0.25">
      <c r="B5" s="5" t="s">
        <v>5</v>
      </c>
      <c r="C5" s="13">
        <f>Assumptions!C7</f>
        <v>812500</v>
      </c>
    </row>
    <row r="6" spans="2:6" ht="15" customHeight="1" x14ac:dyDescent="0.25">
      <c r="B6" s="5" t="s">
        <v>78</v>
      </c>
      <c r="C6" s="13">
        <f>Assumptions!C19</f>
        <v>4875000</v>
      </c>
    </row>
    <row r="7" spans="2:6" ht="15" customHeight="1" x14ac:dyDescent="0.25">
      <c r="B7" s="5" t="s">
        <v>79</v>
      </c>
      <c r="C7" s="8">
        <f>Assumptions!C5*Assumptions!C8</f>
        <v>7500000</v>
      </c>
    </row>
    <row r="8" spans="2:6" ht="15" customHeight="1" x14ac:dyDescent="0.25">
      <c r="B8" s="5" t="s">
        <v>80</v>
      </c>
      <c r="C8" s="8">
        <f>C7-C6</f>
        <v>2625000</v>
      </c>
    </row>
    <row r="9" spans="2:6" ht="15" customHeight="1" x14ac:dyDescent="0.25">
      <c r="B9" s="5" t="s">
        <v>81</v>
      </c>
      <c r="C9" s="13">
        <f>Assumptions!C20</f>
        <v>1218750</v>
      </c>
    </row>
    <row r="10" spans="2:6" ht="15" customHeight="1" x14ac:dyDescent="0.25">
      <c r="B10" s="5" t="s">
        <v>82</v>
      </c>
      <c r="C10" s="13">
        <f>Assumptions!C21</f>
        <v>3656250</v>
      </c>
    </row>
    <row r="11" spans="2:6" ht="15" customHeight="1" x14ac:dyDescent="0.25">
      <c r="B11" s="5" t="s">
        <v>19</v>
      </c>
      <c r="C11" s="14">
        <f>Assumptions!C22</f>
        <v>28346.867333565104</v>
      </c>
    </row>
    <row r="12" spans="2:6" ht="15" customHeight="1" x14ac:dyDescent="0.25">
      <c r="B12" s="5" t="s">
        <v>20</v>
      </c>
      <c r="C12" s="13">
        <f>Assumptions!C23</f>
        <v>340162.40800278122</v>
      </c>
    </row>
    <row r="14" spans="2:6" ht="15" customHeight="1" x14ac:dyDescent="0.25">
      <c r="B14" s="3" t="s">
        <v>83</v>
      </c>
      <c r="C14" s="4"/>
      <c r="D14" s="4"/>
      <c r="E14" s="4"/>
      <c r="F14" s="4"/>
    </row>
    <row r="15" spans="2:6" ht="15" customHeight="1" x14ac:dyDescent="0.25">
      <c r="B15" s="5" t="s">
        <v>26</v>
      </c>
      <c r="C15" s="15">
        <f>Assumptions!C30</f>
        <v>335</v>
      </c>
    </row>
    <row r="16" spans="2:6" ht="15" customHeight="1" x14ac:dyDescent="0.25">
      <c r="B16" s="5" t="s">
        <v>84</v>
      </c>
      <c r="C16" s="16">
        <f>Assumptions!C40</f>
        <v>0.35</v>
      </c>
    </row>
    <row r="17" spans="2:6" ht="15" customHeight="1" x14ac:dyDescent="0.25">
      <c r="B17" s="5" t="s">
        <v>85</v>
      </c>
      <c r="C17" s="11">
        <f>INT(C15*C16)</f>
        <v>117</v>
      </c>
    </row>
    <row r="18" spans="2:6" ht="15" customHeight="1" x14ac:dyDescent="0.25">
      <c r="B18" s="5" t="s">
        <v>7</v>
      </c>
      <c r="C18" s="15">
        <f>Assumptions!C9</f>
        <v>5</v>
      </c>
    </row>
    <row r="19" spans="2:6" ht="15" customHeight="1" x14ac:dyDescent="0.25">
      <c r="B19" s="5" t="s">
        <v>86</v>
      </c>
      <c r="C19" s="11">
        <f>C17*C18</f>
        <v>585</v>
      </c>
    </row>
    <row r="20" spans="2:6" ht="15" customHeight="1" x14ac:dyDescent="0.25">
      <c r="B20" s="5" t="s">
        <v>87</v>
      </c>
      <c r="C20" s="13">
        <f>Assumptions!C34</f>
        <v>2000</v>
      </c>
    </row>
    <row r="21" spans="2:6" ht="15" customHeight="1" x14ac:dyDescent="0.25">
      <c r="B21" s="5" t="s">
        <v>88</v>
      </c>
      <c r="C21" s="17">
        <f>C19*C20</f>
        <v>1170000</v>
      </c>
    </row>
    <row r="22" spans="2:6" ht="15" customHeight="1" x14ac:dyDescent="0.25">
      <c r="B22" s="5" t="s">
        <v>89</v>
      </c>
      <c r="C22" s="8">
        <f>C21*Assumptions!C36</f>
        <v>263250</v>
      </c>
    </row>
    <row r="23" spans="2:6" ht="15" customHeight="1" x14ac:dyDescent="0.25">
      <c r="B23" s="5" t="s">
        <v>90</v>
      </c>
      <c r="C23" s="17">
        <f>C21-C22</f>
        <v>906750</v>
      </c>
    </row>
    <row r="25" spans="2:6" ht="15" customHeight="1" x14ac:dyDescent="0.25">
      <c r="B25" s="3" t="s">
        <v>91</v>
      </c>
      <c r="C25" s="4"/>
      <c r="D25" s="4"/>
      <c r="E25" s="4"/>
      <c r="F25" s="4"/>
    </row>
    <row r="26" spans="2:6" ht="15" customHeight="1" x14ac:dyDescent="0.25">
      <c r="B26" s="5" t="s">
        <v>92</v>
      </c>
      <c r="C26" s="15">
        <f>Assumptions!C43</f>
        <v>48</v>
      </c>
    </row>
    <row r="27" spans="2:6" ht="15" customHeight="1" x14ac:dyDescent="0.25">
      <c r="B27" s="5" t="s">
        <v>93</v>
      </c>
      <c r="C27" s="11">
        <f>C26*Assumptions!C9</f>
        <v>240</v>
      </c>
    </row>
    <row r="28" spans="2:6" ht="15" customHeight="1" x14ac:dyDescent="0.25">
      <c r="B28" s="5" t="s">
        <v>94</v>
      </c>
      <c r="C28" s="13">
        <f>Assumptions!C35</f>
        <v>2000</v>
      </c>
    </row>
    <row r="29" spans="2:6" ht="15" customHeight="1" x14ac:dyDescent="0.25">
      <c r="B29" s="5" t="s">
        <v>95</v>
      </c>
      <c r="C29" s="17">
        <f>C27*C28</f>
        <v>480000</v>
      </c>
    </row>
    <row r="30" spans="2:6" ht="15" customHeight="1" x14ac:dyDescent="0.25">
      <c r="B30" s="5" t="s">
        <v>96</v>
      </c>
      <c r="C30" s="8">
        <f>C29*Assumptions!C37</f>
        <v>96000</v>
      </c>
    </row>
    <row r="31" spans="2:6" ht="15" customHeight="1" x14ac:dyDescent="0.25">
      <c r="B31" s="5" t="s">
        <v>97</v>
      </c>
      <c r="C31" s="17">
        <f>C29-C30</f>
        <v>384000</v>
      </c>
    </row>
    <row r="33" spans="2:6" ht="15" customHeight="1" x14ac:dyDescent="0.25">
      <c r="B33" s="3" t="s">
        <v>98</v>
      </c>
      <c r="C33" s="4"/>
      <c r="D33" s="4"/>
      <c r="E33" s="4"/>
      <c r="F33" s="4"/>
    </row>
    <row r="34" spans="2:6" ht="15" customHeight="1" x14ac:dyDescent="0.25">
      <c r="B34" s="5" t="s">
        <v>99</v>
      </c>
      <c r="C34" s="15">
        <f>Assumptions!C45</f>
        <v>67</v>
      </c>
    </row>
    <row r="35" spans="2:6" ht="15" customHeight="1" x14ac:dyDescent="0.25">
      <c r="B35" s="5" t="s">
        <v>100</v>
      </c>
      <c r="C35" s="11">
        <f>C34*Assumptions!C9</f>
        <v>335</v>
      </c>
    </row>
    <row r="36" spans="2:6" ht="15" customHeight="1" x14ac:dyDescent="0.25">
      <c r="B36" s="5" t="s">
        <v>94</v>
      </c>
      <c r="C36" s="13">
        <f>Assumptions!C35</f>
        <v>2000</v>
      </c>
    </row>
    <row r="37" spans="2:6" ht="15" customHeight="1" x14ac:dyDescent="0.25">
      <c r="B37" s="5" t="s">
        <v>101</v>
      </c>
      <c r="C37" s="17">
        <f>C35*C36</f>
        <v>670000</v>
      </c>
    </row>
    <row r="38" spans="2:6" ht="15" customHeight="1" x14ac:dyDescent="0.25">
      <c r="B38" s="5" t="s">
        <v>96</v>
      </c>
      <c r="C38" s="8">
        <f>C37*Assumptions!C37</f>
        <v>134000</v>
      </c>
    </row>
    <row r="39" spans="2:6" ht="15" customHeight="1" x14ac:dyDescent="0.25">
      <c r="B39" s="5" t="s">
        <v>102</v>
      </c>
      <c r="C39" s="17">
        <f>C37-C38</f>
        <v>536000</v>
      </c>
    </row>
    <row r="41" spans="2:6" ht="15" customHeight="1" x14ac:dyDescent="0.25">
      <c r="B41" s="3" t="s">
        <v>103</v>
      </c>
      <c r="C41" s="4"/>
      <c r="D41" s="4"/>
      <c r="E41" s="4"/>
      <c r="F41" s="4"/>
    </row>
    <row r="42" spans="2:6" ht="15" customHeight="1" x14ac:dyDescent="0.25">
      <c r="B42" s="5" t="s">
        <v>104</v>
      </c>
      <c r="C42" s="17">
        <f>C21+C29+C37</f>
        <v>2320000</v>
      </c>
    </row>
    <row r="43" spans="2:6" ht="15" customHeight="1" x14ac:dyDescent="0.25">
      <c r="B43" s="5" t="s">
        <v>105</v>
      </c>
      <c r="C43" s="8">
        <f>C22+C30+C38</f>
        <v>493250</v>
      </c>
    </row>
    <row r="44" spans="2:6" ht="15" customHeight="1" x14ac:dyDescent="0.25">
      <c r="B44" s="18" t="s">
        <v>106</v>
      </c>
      <c r="C44" s="19">
        <f>C23+C31+C39</f>
        <v>1826750</v>
      </c>
    </row>
    <row r="46" spans="2:6" ht="15" customHeight="1" x14ac:dyDescent="0.25">
      <c r="B46" s="3" t="s">
        <v>107</v>
      </c>
      <c r="C46" s="4"/>
      <c r="D46" s="4"/>
      <c r="E46" s="4"/>
      <c r="F46" s="4"/>
    </row>
    <row r="47" spans="2:6" ht="15" customHeight="1" x14ac:dyDescent="0.25">
      <c r="B47" s="5" t="s">
        <v>108</v>
      </c>
      <c r="C47" s="13">
        <f>Assumptions!C53</f>
        <v>260000</v>
      </c>
    </row>
    <row r="48" spans="2:6" ht="15" customHeight="1" x14ac:dyDescent="0.25">
      <c r="B48" s="5" t="s">
        <v>109</v>
      </c>
      <c r="C48" s="13">
        <f>Assumptions!C71</f>
        <v>20800</v>
      </c>
    </row>
    <row r="49" spans="2:6" ht="15" customHeight="1" x14ac:dyDescent="0.25">
      <c r="B49" s="5" t="s">
        <v>110</v>
      </c>
      <c r="C49" s="8">
        <f>C19*Assumptions!C56</f>
        <v>29250</v>
      </c>
    </row>
    <row r="50" spans="2:6" ht="15" customHeight="1" x14ac:dyDescent="0.25">
      <c r="B50" s="5" t="s">
        <v>111</v>
      </c>
      <c r="C50" s="8">
        <f>Assumptions!C60*Assumptions!C8</f>
        <v>120000</v>
      </c>
    </row>
    <row r="51" spans="2:6" ht="15" customHeight="1" x14ac:dyDescent="0.25">
      <c r="B51" s="5" t="s">
        <v>112</v>
      </c>
      <c r="C51" s="13">
        <f>Assumptions!C64</f>
        <v>130000</v>
      </c>
    </row>
    <row r="52" spans="2:6" ht="15" customHeight="1" x14ac:dyDescent="0.25">
      <c r="B52" s="20" t="s">
        <v>113</v>
      </c>
      <c r="C52" s="21">
        <f>SUM(C47:C51)</f>
        <v>560050</v>
      </c>
    </row>
    <row r="54" spans="2:6" ht="15" customHeight="1" x14ac:dyDescent="0.25">
      <c r="B54" s="3" t="s">
        <v>114</v>
      </c>
      <c r="C54" s="4"/>
      <c r="D54" s="4"/>
      <c r="E54" s="4"/>
      <c r="F54" s="4"/>
    </row>
    <row r="55" spans="2:6" ht="15" customHeight="1" x14ac:dyDescent="0.25">
      <c r="B55" s="5" t="s">
        <v>115</v>
      </c>
      <c r="C55" s="13">
        <f>C44</f>
        <v>1826750</v>
      </c>
    </row>
    <row r="56" spans="2:6" ht="15" customHeight="1" x14ac:dyDescent="0.25">
      <c r="B56" s="5" t="s">
        <v>116</v>
      </c>
      <c r="C56" s="13">
        <f>-C52</f>
        <v>-560050</v>
      </c>
    </row>
    <row r="57" spans="2:6" ht="15" customHeight="1" x14ac:dyDescent="0.25">
      <c r="B57" s="5" t="s">
        <v>117</v>
      </c>
      <c r="C57" s="17">
        <f>C55+C56</f>
        <v>1266700</v>
      </c>
    </row>
    <row r="58" spans="2:6" ht="15" customHeight="1" x14ac:dyDescent="0.25">
      <c r="B58" s="5" t="s">
        <v>118</v>
      </c>
      <c r="C58" s="13">
        <f>-C12</f>
        <v>-340162.40800278122</v>
      </c>
    </row>
    <row r="59" spans="2:6" ht="15" customHeight="1" x14ac:dyDescent="0.25">
      <c r="B59" s="18" t="s">
        <v>119</v>
      </c>
      <c r="C59" s="19">
        <f>C57+C58</f>
        <v>926537.59199721878</v>
      </c>
    </row>
    <row r="61" spans="2:6" ht="15" customHeight="1" x14ac:dyDescent="0.25">
      <c r="B61" s="5" t="s">
        <v>120</v>
      </c>
      <c r="C61" s="22">
        <f>C59/C9</f>
        <v>0.76023597292079492</v>
      </c>
    </row>
    <row r="62" spans="2:6" ht="15" customHeight="1" x14ac:dyDescent="0.25">
      <c r="B62" s="5" t="s">
        <v>121</v>
      </c>
      <c r="C62" s="23">
        <f>C9/C59*12</f>
        <v>15.784572721409777</v>
      </c>
    </row>
    <row r="64" spans="2:6" ht="15" customHeight="1" x14ac:dyDescent="0.25">
      <c r="B64" s="3" t="s">
        <v>122</v>
      </c>
      <c r="C64" s="4"/>
      <c r="D64" s="4"/>
      <c r="E64" s="4"/>
      <c r="F64" s="4"/>
    </row>
    <row r="65" spans="2:3" ht="15" customHeight="1" x14ac:dyDescent="0.25">
      <c r="B65" s="24" t="s">
        <v>123</v>
      </c>
    </row>
    <row r="66" spans="2:3" ht="15" customHeight="1" x14ac:dyDescent="0.25">
      <c r="B66" s="5" t="s">
        <v>124</v>
      </c>
      <c r="C66" s="11">
        <f>Assumptions!C9*INT(Assumptions!C30*Assumptions!C79)</f>
        <v>335</v>
      </c>
    </row>
    <row r="67" spans="2:3" ht="15" customHeight="1" x14ac:dyDescent="0.25">
      <c r="B67" s="5" t="s">
        <v>125</v>
      </c>
      <c r="C67" s="8">
        <f>C66*Assumptions!C34*(1-Assumptions!C36)</f>
        <v>519250</v>
      </c>
    </row>
    <row r="68" spans="2:3" ht="15" customHeight="1" x14ac:dyDescent="0.25">
      <c r="B68" s="5" t="s">
        <v>126</v>
      </c>
      <c r="C68" s="15">
        <f>Assumptions!C80</f>
        <v>200</v>
      </c>
    </row>
    <row r="69" spans="2:3" ht="15" customHeight="1" x14ac:dyDescent="0.25">
      <c r="B69" s="5" t="s">
        <v>127</v>
      </c>
      <c r="C69" s="8">
        <f>C68*Assumptions!C35*(1-Assumptions!C37)</f>
        <v>320000</v>
      </c>
    </row>
    <row r="70" spans="2:3" ht="15" customHeight="1" x14ac:dyDescent="0.25">
      <c r="B70" s="5" t="s">
        <v>128</v>
      </c>
      <c r="C70" s="11">
        <f>Assumptions!C9*INT(Assumptions!C30*Assumptions!C81)</f>
        <v>165</v>
      </c>
    </row>
    <row r="71" spans="2:3" ht="15" customHeight="1" x14ac:dyDescent="0.25">
      <c r="B71" s="5" t="s">
        <v>129</v>
      </c>
      <c r="C71" s="8">
        <f>C70*Assumptions!C35*(1-Assumptions!C37)</f>
        <v>264000</v>
      </c>
    </row>
    <row r="72" spans="2:3" ht="15" customHeight="1" x14ac:dyDescent="0.25">
      <c r="B72" s="5" t="s">
        <v>130</v>
      </c>
      <c r="C72" s="17">
        <f>C67+C69+C71</f>
        <v>1103250</v>
      </c>
    </row>
    <row r="73" spans="2:3" ht="15" customHeight="1" x14ac:dyDescent="0.25">
      <c r="B73" s="5" t="s">
        <v>131</v>
      </c>
      <c r="C73" s="8">
        <f>Assumptions!C53+Assumptions!C71+C66*Assumptions!C56+Assumptions!C60*Assumptions!C8+Assumptions!C64</f>
        <v>547550</v>
      </c>
    </row>
    <row r="74" spans="2:3" ht="15" customHeight="1" x14ac:dyDescent="0.25">
      <c r="B74" s="5" t="s">
        <v>132</v>
      </c>
      <c r="C74" s="8">
        <f>C72-C73</f>
        <v>555700</v>
      </c>
    </row>
    <row r="75" spans="2:3" ht="15" customHeight="1" x14ac:dyDescent="0.25">
      <c r="B75" s="20" t="s">
        <v>133</v>
      </c>
      <c r="C75" s="21">
        <f>C74-C12</f>
        <v>215537.59199721878</v>
      </c>
    </row>
    <row r="77" spans="2:3" ht="15" customHeight="1" x14ac:dyDescent="0.25">
      <c r="B77" s="24" t="s">
        <v>134</v>
      </c>
    </row>
    <row r="78" spans="2:3" ht="15" customHeight="1" x14ac:dyDescent="0.25">
      <c r="B78" s="5" t="s">
        <v>135</v>
      </c>
      <c r="C78" s="8">
        <f>-C9</f>
        <v>-1218750</v>
      </c>
    </row>
    <row r="79" spans="2:3" ht="15" customHeight="1" x14ac:dyDescent="0.25">
      <c r="B79" s="5" t="s">
        <v>136</v>
      </c>
      <c r="C79" s="13">
        <f>C59</f>
        <v>926537.59199721878</v>
      </c>
    </row>
    <row r="80" spans="2:3" ht="15" customHeight="1" x14ac:dyDescent="0.25">
      <c r="B80" s="5" t="s">
        <v>137</v>
      </c>
      <c r="C80" s="13">
        <f>C75</f>
        <v>215537.59199721878</v>
      </c>
    </row>
    <row r="81" spans="2:3" ht="15" customHeight="1" x14ac:dyDescent="0.25">
      <c r="B81" s="5" t="s">
        <v>138</v>
      </c>
      <c r="C81" s="13">
        <f>C59</f>
        <v>926537.59199721878</v>
      </c>
    </row>
    <row r="82" spans="2:3" ht="15" customHeight="1" x14ac:dyDescent="0.25">
      <c r="B82" s="5" t="s">
        <v>139</v>
      </c>
      <c r="C82" s="17">
        <f>C79+C80+C81</f>
        <v>2068612.7759916564</v>
      </c>
    </row>
    <row r="84" spans="2:3" ht="15" customHeight="1" x14ac:dyDescent="0.25">
      <c r="B84" s="24" t="s">
        <v>140</v>
      </c>
    </row>
    <row r="85" spans="2:3" ht="15" customHeight="1" x14ac:dyDescent="0.25">
      <c r="B85" s="5" t="s">
        <v>141</v>
      </c>
      <c r="C85" s="8">
        <f>FV(Assumptions!C17,Assumptions!C74,-C11,C10)</f>
        <v>-3375990.9117608853</v>
      </c>
    </row>
    <row r="86" spans="2:3" ht="15" customHeight="1" x14ac:dyDescent="0.25">
      <c r="B86" s="5" t="s">
        <v>142</v>
      </c>
      <c r="C86" s="8">
        <f>C10+C85</f>
        <v>280259.08823911473</v>
      </c>
    </row>
    <row r="87" spans="2:3" ht="15" customHeight="1" x14ac:dyDescent="0.25">
      <c r="B87" s="5" t="s">
        <v>143</v>
      </c>
      <c r="C87" s="8">
        <f>C11*36-C86</f>
        <v>740228.13576922903</v>
      </c>
    </row>
    <row r="88" spans="2:3" ht="15" customHeight="1" x14ac:dyDescent="0.25">
      <c r="B88" s="5" t="s">
        <v>144</v>
      </c>
      <c r="C88" s="8">
        <f>Assumptions!C8*Assumptions!C5*Assumptions!C75</f>
        <v>3750000</v>
      </c>
    </row>
    <row r="89" spans="2:3" ht="15" customHeight="1" x14ac:dyDescent="0.25">
      <c r="B89" s="5" t="s">
        <v>145</v>
      </c>
      <c r="C89" s="17">
        <f>C88+C85</f>
        <v>374009.08823911473</v>
      </c>
    </row>
    <row r="91" spans="2:3" ht="15" customHeight="1" x14ac:dyDescent="0.25">
      <c r="B91" s="24" t="s">
        <v>146</v>
      </c>
    </row>
    <row r="92" spans="2:3" ht="15" customHeight="1" x14ac:dyDescent="0.25">
      <c r="B92" s="5" t="s">
        <v>147</v>
      </c>
      <c r="C92" s="8">
        <f>C82+C89</f>
        <v>2442621.8642307711</v>
      </c>
    </row>
    <row r="93" spans="2:3" ht="15" customHeight="1" x14ac:dyDescent="0.25">
      <c r="B93" s="5" t="s">
        <v>148</v>
      </c>
      <c r="C93" s="8">
        <f>-C9</f>
        <v>-1218750</v>
      </c>
    </row>
    <row r="94" spans="2:3" ht="15" customHeight="1" x14ac:dyDescent="0.25">
      <c r="B94" s="18" t="s">
        <v>149</v>
      </c>
      <c r="C94" s="19">
        <f>C92+C93</f>
        <v>1223871.8642307711</v>
      </c>
    </row>
    <row r="96" spans="2:3" ht="15" customHeight="1" x14ac:dyDescent="0.25">
      <c r="B96" s="5" t="s">
        <v>150</v>
      </c>
      <c r="C96" s="22">
        <f>C94/C9</f>
        <v>1.0042025552662737</v>
      </c>
    </row>
    <row r="97" spans="2:6" ht="15" customHeight="1" x14ac:dyDescent="0.25">
      <c r="B97" s="5" t="s">
        <v>151</v>
      </c>
      <c r="C97" s="22">
        <f>C96/3</f>
        <v>0.33473418508875791</v>
      </c>
    </row>
    <row r="99" spans="2:6" ht="15" customHeight="1" x14ac:dyDescent="0.25">
      <c r="B99" s="3" t="s">
        <v>152</v>
      </c>
      <c r="C99" s="4"/>
      <c r="D99" s="4"/>
      <c r="E99" s="4"/>
      <c r="F99" s="4"/>
    </row>
    <row r="100" spans="2:6" ht="15" customHeight="1" x14ac:dyDescent="0.25">
      <c r="B100" s="5" t="s">
        <v>153</v>
      </c>
      <c r="C100" s="8">
        <f>C59*3</f>
        <v>2779612.7759916564</v>
      </c>
    </row>
    <row r="101" spans="2:6" ht="15" customHeight="1" x14ac:dyDescent="0.25">
      <c r="B101" s="5" t="s">
        <v>154</v>
      </c>
      <c r="C101" s="8">
        <f>Assumptions!C8*Assumptions!C5*Assumptions!C76</f>
        <v>4500000</v>
      </c>
    </row>
    <row r="102" spans="2:6" ht="15" customHeight="1" x14ac:dyDescent="0.25">
      <c r="B102" s="5" t="s">
        <v>155</v>
      </c>
      <c r="C102" s="8">
        <f>C101+C85</f>
        <v>1124009.0882391147</v>
      </c>
    </row>
    <row r="103" spans="2:6" ht="15" customHeight="1" x14ac:dyDescent="0.25">
      <c r="B103" s="5" t="s">
        <v>156</v>
      </c>
      <c r="C103" s="17">
        <f>C100+C102-C9</f>
        <v>2684871.8642307711</v>
      </c>
    </row>
    <row r="104" spans="2:6" ht="15" customHeight="1" x14ac:dyDescent="0.25">
      <c r="B104" s="5" t="s">
        <v>157</v>
      </c>
      <c r="C104" s="22">
        <f>C103/C9</f>
        <v>2.2029717860355045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40"/>
  <sheetViews>
    <sheetView tabSelected="1" zoomScaleNormal="100" workbookViewId="0"/>
  </sheetViews>
  <sheetFormatPr defaultColWidth="8.7109375" defaultRowHeight="15" x14ac:dyDescent="0.25"/>
  <cols>
    <col min="1" max="1" width="4" customWidth="1"/>
    <col min="2" max="2" width="50" customWidth="1"/>
    <col min="3" max="4" width="22" customWidth="1"/>
  </cols>
  <sheetData>
    <row r="1" spans="2:6" ht="17.25" customHeight="1" x14ac:dyDescent="0.25">
      <c r="B1" s="1" t="s">
        <v>158</v>
      </c>
    </row>
    <row r="3" spans="2:6" ht="15" customHeight="1" x14ac:dyDescent="0.25">
      <c r="B3" s="3" t="s">
        <v>159</v>
      </c>
      <c r="C3" s="4"/>
      <c r="D3" s="4"/>
      <c r="E3" s="4"/>
      <c r="F3" s="4"/>
    </row>
    <row r="4" spans="2:6" ht="15" customHeight="1" x14ac:dyDescent="0.25">
      <c r="B4" s="5" t="s">
        <v>160</v>
      </c>
      <c r="C4" s="15">
        <f>Assumptions!C8</f>
        <v>6</v>
      </c>
    </row>
    <row r="5" spans="2:6" ht="15" customHeight="1" x14ac:dyDescent="0.25">
      <c r="B5" s="5" t="s">
        <v>161</v>
      </c>
      <c r="C5" s="15">
        <f>Assumptions!C11</f>
        <v>50</v>
      </c>
    </row>
    <row r="6" spans="2:6" ht="15" customHeight="1" x14ac:dyDescent="0.25">
      <c r="B6" s="5" t="s">
        <v>70</v>
      </c>
      <c r="C6" s="13">
        <f>Assumptions!C84</f>
        <v>6</v>
      </c>
    </row>
    <row r="7" spans="2:6" ht="15" customHeight="1" x14ac:dyDescent="0.25">
      <c r="B7" s="5" t="s">
        <v>71</v>
      </c>
      <c r="C7" s="16">
        <f>Assumptions!C85</f>
        <v>0.5</v>
      </c>
    </row>
    <row r="8" spans="2:6" ht="15" customHeight="1" x14ac:dyDescent="0.25">
      <c r="B8" s="5" t="s">
        <v>162</v>
      </c>
      <c r="C8" s="11">
        <f>INT(Assumptions!C30*C7)</f>
        <v>167</v>
      </c>
    </row>
    <row r="9" spans="2:6" ht="15" customHeight="1" x14ac:dyDescent="0.25">
      <c r="B9" s="5" t="s">
        <v>163</v>
      </c>
      <c r="C9" s="8">
        <f>C5*C6</f>
        <v>300</v>
      </c>
    </row>
    <row r="10" spans="2:6" ht="15" customHeight="1" x14ac:dyDescent="0.25">
      <c r="B10" s="5" t="s">
        <v>164</v>
      </c>
      <c r="C10" s="8">
        <f>C9*C8</f>
        <v>50100</v>
      </c>
    </row>
    <row r="11" spans="2:6" ht="15" customHeight="1" x14ac:dyDescent="0.25">
      <c r="B11" s="25" t="s">
        <v>165</v>
      </c>
      <c r="C11" s="26">
        <f>C10*C4</f>
        <v>300600</v>
      </c>
    </row>
    <row r="13" spans="2:6" ht="15" customHeight="1" x14ac:dyDescent="0.25">
      <c r="B13" s="3" t="s">
        <v>166</v>
      </c>
      <c r="C13" s="4"/>
      <c r="D13" s="4"/>
      <c r="E13" s="4"/>
      <c r="F13" s="4"/>
    </row>
    <row r="14" spans="2:6" ht="15" customHeight="1" x14ac:dyDescent="0.25">
      <c r="B14" s="5" t="s">
        <v>167</v>
      </c>
      <c r="C14" s="13">
        <f>'Operator Financials'!C22</f>
        <v>263250</v>
      </c>
    </row>
    <row r="15" spans="2:6" ht="15" customHeight="1" x14ac:dyDescent="0.25">
      <c r="B15" s="5" t="s">
        <v>168</v>
      </c>
      <c r="C15" s="13">
        <f>'Operator Financials'!C30</f>
        <v>96000</v>
      </c>
    </row>
    <row r="16" spans="2:6" ht="15" customHeight="1" x14ac:dyDescent="0.25">
      <c r="B16" s="5" t="s">
        <v>169</v>
      </c>
      <c r="C16" s="13">
        <f>'Operator Financials'!C38</f>
        <v>134000</v>
      </c>
    </row>
    <row r="17" spans="2:6" ht="15" customHeight="1" x14ac:dyDescent="0.25">
      <c r="B17" s="5" t="s">
        <v>170</v>
      </c>
      <c r="C17" s="17">
        <f>C14+C15+C16</f>
        <v>493250</v>
      </c>
    </row>
    <row r="19" spans="2:6" ht="15" customHeight="1" x14ac:dyDescent="0.25">
      <c r="B19" s="5" t="s">
        <v>171</v>
      </c>
      <c r="C19" s="13">
        <f>'Operator Financials'!C49</f>
        <v>29250</v>
      </c>
    </row>
    <row r="20" spans="2:6" ht="15" customHeight="1" x14ac:dyDescent="0.25">
      <c r="B20" s="5" t="s">
        <v>172</v>
      </c>
      <c r="C20" s="8">
        <f>-'Operator Financials'!C19*Assumptions!C57</f>
        <v>-8775</v>
      </c>
    </row>
    <row r="21" spans="2:6" ht="15" customHeight="1" x14ac:dyDescent="0.25">
      <c r="B21" s="5" t="s">
        <v>173</v>
      </c>
      <c r="C21" s="6">
        <v>-12000</v>
      </c>
    </row>
    <row r="23" spans="2:6" ht="15" customHeight="1" x14ac:dyDescent="0.25">
      <c r="B23" s="18" t="s">
        <v>174</v>
      </c>
      <c r="C23" s="19">
        <f>C17+C19+C20+C21</f>
        <v>501725</v>
      </c>
    </row>
    <row r="25" spans="2:6" ht="15" customHeight="1" x14ac:dyDescent="0.25">
      <c r="B25" s="3" t="s">
        <v>175</v>
      </c>
      <c r="C25" s="4"/>
      <c r="D25" s="4"/>
      <c r="E25" s="4"/>
      <c r="F25" s="4"/>
    </row>
    <row r="26" spans="2:6" ht="15" customHeight="1" x14ac:dyDescent="0.25">
      <c r="B26" s="5" t="s">
        <v>176</v>
      </c>
      <c r="C26" s="8">
        <f>'Operator Financials'!C19*Assumptions!C88</f>
        <v>117000</v>
      </c>
    </row>
    <row r="27" spans="2:6" ht="15" customHeight="1" x14ac:dyDescent="0.25">
      <c r="B27" s="5" t="s">
        <v>177</v>
      </c>
      <c r="C27" s="8">
        <f>('Operator Financials'!C27+'Operator Financials'!C35)*Assumptions!C89</f>
        <v>43125</v>
      </c>
    </row>
    <row r="28" spans="2:6" ht="15" customHeight="1" x14ac:dyDescent="0.25">
      <c r="B28" s="5" t="s">
        <v>178</v>
      </c>
      <c r="C28" s="17">
        <f>C26+C27</f>
        <v>160125</v>
      </c>
    </row>
    <row r="30" spans="2:6" ht="15" customHeight="1" x14ac:dyDescent="0.25">
      <c r="B30" s="18" t="s">
        <v>179</v>
      </c>
      <c r="C30" s="19">
        <f>C23+C28</f>
        <v>661850</v>
      </c>
    </row>
    <row r="32" spans="2:6" ht="15" customHeight="1" x14ac:dyDescent="0.25">
      <c r="B32" s="3" t="s">
        <v>180</v>
      </c>
      <c r="C32" s="4"/>
      <c r="D32" s="4"/>
      <c r="E32" s="4"/>
      <c r="F32" s="4"/>
    </row>
    <row r="33" spans="2:4" ht="15" customHeight="1" x14ac:dyDescent="0.25">
      <c r="C33" s="27" t="s">
        <v>181</v>
      </c>
      <c r="D33" s="27" t="s">
        <v>182</v>
      </c>
    </row>
    <row r="34" spans="2:4" ht="15" customHeight="1" x14ac:dyDescent="0.25">
      <c r="B34" s="5" t="s">
        <v>183</v>
      </c>
      <c r="C34" s="8">
        <f>C11</f>
        <v>300600</v>
      </c>
      <c r="D34" s="8">
        <f>C23</f>
        <v>501725</v>
      </c>
    </row>
    <row r="35" spans="2:4" ht="15" customHeight="1" x14ac:dyDescent="0.25">
      <c r="B35" s="5" t="s">
        <v>184</v>
      </c>
      <c r="C35" s="8">
        <f>C11/(C4*C5)</f>
        <v>1002</v>
      </c>
      <c r="D35" s="8">
        <f>C23/(C4*C5)</f>
        <v>1672.4166666666667</v>
      </c>
    </row>
    <row r="36" spans="2:4" ht="15" customHeight="1" x14ac:dyDescent="0.25">
      <c r="B36" s="5" t="s">
        <v>185</v>
      </c>
      <c r="C36" s="8">
        <f>C11</f>
        <v>300600</v>
      </c>
      <c r="D36" s="8">
        <f>C30</f>
        <v>661850</v>
      </c>
    </row>
    <row r="38" spans="2:4" ht="15" customHeight="1" x14ac:dyDescent="0.25">
      <c r="B38" s="5" t="s">
        <v>186</v>
      </c>
      <c r="C38" s="22">
        <f>(C23-C11)/C11</f>
        <v>0.66907850964737192</v>
      </c>
    </row>
    <row r="39" spans="2:4" ht="15" customHeight="1" x14ac:dyDescent="0.25">
      <c r="B39" s="5" t="s">
        <v>187</v>
      </c>
      <c r="C39" s="22">
        <f>(C30-C11)/C11</f>
        <v>1.2017631403858948</v>
      </c>
    </row>
    <row r="40" spans="2:4" ht="15" customHeight="1" x14ac:dyDescent="0.25">
      <c r="B40" s="5" t="s">
        <v>188</v>
      </c>
      <c r="C40" s="17">
        <f>(C23-C11)/4</f>
        <v>50281.25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2"/>
  <sheetViews>
    <sheetView zoomScaleNormal="100" workbookViewId="0"/>
  </sheetViews>
  <sheetFormatPr defaultColWidth="8.7109375" defaultRowHeight="15" x14ac:dyDescent="0.25"/>
  <cols>
    <col min="1" max="1" width="4" customWidth="1"/>
    <col min="2" max="2" width="16" customWidth="1"/>
    <col min="3" max="6" width="14" customWidth="1"/>
  </cols>
  <sheetData>
    <row r="1" spans="2:6" ht="17.25" customHeight="1" x14ac:dyDescent="0.25">
      <c r="B1" s="1" t="s">
        <v>189</v>
      </c>
    </row>
    <row r="2" spans="2:6" ht="15" customHeight="1" x14ac:dyDescent="0.25">
      <c r="B2" s="2" t="s">
        <v>190</v>
      </c>
    </row>
    <row r="4" spans="2:6" ht="15" customHeight="1" x14ac:dyDescent="0.25">
      <c r="B4" s="27" t="s">
        <v>191</v>
      </c>
      <c r="C4" s="28" t="s">
        <v>192</v>
      </c>
      <c r="D4" s="28" t="s">
        <v>193</v>
      </c>
      <c r="E4" s="28" t="s">
        <v>194</v>
      </c>
      <c r="F4" s="28" t="s">
        <v>195</v>
      </c>
    </row>
    <row r="5" spans="2:6" ht="15" customHeight="1" x14ac:dyDescent="0.25">
      <c r="B5" s="24" t="s">
        <v>196</v>
      </c>
      <c r="C5" s="29">
        <v>1948663</v>
      </c>
      <c r="D5" s="29">
        <v>1379913</v>
      </c>
      <c r="E5" s="29">
        <v>993163</v>
      </c>
      <c r="F5" s="29">
        <v>617788</v>
      </c>
    </row>
    <row r="6" spans="2:6" ht="15" customHeight="1" x14ac:dyDescent="0.25">
      <c r="B6" s="24" t="s">
        <v>197</v>
      </c>
      <c r="C6" s="29">
        <v>1625100</v>
      </c>
      <c r="D6" s="29">
        <v>1153225</v>
      </c>
      <c r="E6" s="29">
        <v>832350</v>
      </c>
      <c r="F6" s="29">
        <v>520913</v>
      </c>
    </row>
    <row r="7" spans="2:6" ht="15" customHeight="1" x14ac:dyDescent="0.25">
      <c r="B7" s="24" t="s">
        <v>198</v>
      </c>
      <c r="C7" s="29">
        <v>1301538</v>
      </c>
      <c r="D7" s="30">
        <v>926538</v>
      </c>
      <c r="E7" s="29">
        <v>671538</v>
      </c>
      <c r="F7" s="29">
        <v>424038</v>
      </c>
    </row>
    <row r="8" spans="2:6" ht="15" customHeight="1" x14ac:dyDescent="0.25">
      <c r="B8" s="24" t="s">
        <v>199</v>
      </c>
      <c r="C8" s="29">
        <v>977975</v>
      </c>
      <c r="D8" s="29">
        <v>699850</v>
      </c>
      <c r="E8" s="29">
        <v>510725</v>
      </c>
      <c r="F8" s="29">
        <v>327163</v>
      </c>
    </row>
    <row r="9" spans="2:6" ht="15" customHeight="1" x14ac:dyDescent="0.25">
      <c r="B9" s="24" t="s">
        <v>200</v>
      </c>
      <c r="C9" s="29">
        <v>654413</v>
      </c>
      <c r="D9" s="29">
        <v>473163</v>
      </c>
      <c r="E9" s="29">
        <v>349913</v>
      </c>
      <c r="F9" s="29">
        <v>230288</v>
      </c>
    </row>
    <row r="11" spans="2:6" ht="15" customHeight="1" x14ac:dyDescent="0.25">
      <c r="B11" s="2" t="s">
        <v>201</v>
      </c>
    </row>
    <row r="12" spans="2:6" ht="15" customHeight="1" x14ac:dyDescent="0.25">
      <c r="B12" s="2" t="s">
        <v>202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Operator Financials</vt:lpstr>
      <vt:lpstr>Hotel Financials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GLENN WALTERS</cp:lastModifiedBy>
  <cp:revision>0</cp:revision>
  <dcterms:created xsi:type="dcterms:W3CDTF">2026-05-25T21:34:22Z</dcterms:created>
  <dcterms:modified xsi:type="dcterms:W3CDTF">2026-05-25T21:39:43Z</dcterms:modified>
  <dc:language>en-US</dc:language>
</cp:coreProperties>
</file>